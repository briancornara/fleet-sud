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8d757969051bc29/Brian/Desarrollo de Software/Práctica Profesionalizante II/"/>
    </mc:Choice>
  </mc:AlternateContent>
  <xr:revisionPtr revIDLastSave="178" documentId="11_9DCFCF242A8D78E41B8C51F1EF3E4CF8C4E3EB62" xr6:coauthVersionLast="47" xr6:coauthVersionMax="47" xr10:uidLastSave="{D0F5953D-CF2F-418F-BC32-CE2191898301}"/>
  <bookViews>
    <workbookView xWindow="-110" yWindow="-110" windowWidth="19420" windowHeight="10420" tabRatio="500" activeTab="2" xr2:uid="{00000000-000D-0000-FFFF-FFFF00000000}"/>
  </bookViews>
  <sheets>
    <sheet name="Vehiculos" sheetId="2" r:id="rId1"/>
    <sheet name="Conductores" sheetId="3" r:id="rId2"/>
    <sheet name="Inspecciones" sheetId="4" r:id="rId3"/>
    <sheet name="Mantenimientos" sheetId="5" r:id="rId4"/>
    <sheet name="Dashboard" sheetId="1" r:id="rId5"/>
  </sheets>
  <definedNames>
    <definedName name="_xlnm._FilterDatabase" localSheetId="1" hidden="1">Conductores!$A$1:$J$1</definedName>
    <definedName name="_xlnm._FilterDatabase" localSheetId="2" hidden="1">Inspecciones!$A$1:$X$1</definedName>
    <definedName name="_xlnm._FilterDatabase" localSheetId="3" hidden="1">Mantenimientos!$A$1:$O$1</definedName>
    <definedName name="_xlnm._FilterDatabase" localSheetId="0" hidden="1">Vehiculos!$A$1:$M$1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5" l="1"/>
  <c r="J7" i="5"/>
  <c r="L6" i="5"/>
  <c r="L5" i="5"/>
  <c r="L4" i="5"/>
  <c r="L3" i="5"/>
  <c r="L2" i="5"/>
  <c r="B3" i="1"/>
  <c r="B5" i="1"/>
  <c r="B2" i="1"/>
  <c r="B4" i="1"/>
  <c r="B1" i="1"/>
  <c r="L7" i="5" l="1"/>
  <c r="B6" i="1" s="1"/>
</calcChain>
</file>

<file path=xl/sharedStrings.xml><?xml version="1.0" encoding="utf-8"?>
<sst xmlns="http://schemas.openxmlformats.org/spreadsheetml/2006/main" count="327" uniqueCount="226">
  <si>
    <t>📋  GUÍA DE USO</t>
  </si>
  <si>
    <t xml:space="preserve">  📄 Vehículos</t>
  </si>
  <si>
    <t>Registro de toda la flota mixta (camiones, camionetas, maquinaria agrícola, etc.)</t>
  </si>
  <si>
    <t xml:space="preserve">  📄 Conductores</t>
  </si>
  <si>
    <t>Personal habilitado, licencias y vencimientos</t>
  </si>
  <si>
    <t xml:space="preserve">  📄 Inspecciones</t>
  </si>
  <si>
    <t>Pre-viaje, periódicas y técnicas con resultado por ítem</t>
  </si>
  <si>
    <t xml:space="preserve">  📄 Mantenimientos</t>
  </si>
  <si>
    <t>Historial de servicios, costos y órdenes de trabajo</t>
  </si>
  <si>
    <t>ID Vehículo</t>
  </si>
  <si>
    <t>Tipo</t>
  </si>
  <si>
    <t>Marca</t>
  </si>
  <si>
    <t>Modelo</t>
  </si>
  <si>
    <t>Año</t>
  </si>
  <si>
    <t>N° Interno</t>
  </si>
  <si>
    <t>Estado</t>
  </si>
  <si>
    <t>Asignado a</t>
  </si>
  <si>
    <t>Fecha Alta</t>
  </si>
  <si>
    <t>Fecha Baja</t>
  </si>
  <si>
    <t>Observaciones</t>
  </si>
  <si>
    <t>VH-001</t>
  </si>
  <si>
    <t>Atego 1726</t>
  </si>
  <si>
    <t>2021</t>
  </si>
  <si>
    <t>ABC123</t>
  </si>
  <si>
    <t>T-01</t>
  </si>
  <si>
    <t>WDB9700331L123456</t>
  </si>
  <si>
    <t>Activo</t>
  </si>
  <si>
    <t>01/03/2021</t>
  </si>
  <si>
    <t>VH-002</t>
  </si>
  <si>
    <t>Camioneta</t>
  </si>
  <si>
    <t>Toyota</t>
  </si>
  <si>
    <t>Hilux 4x4</t>
  </si>
  <si>
    <t>2022</t>
  </si>
  <si>
    <t>DEF456</t>
  </si>
  <si>
    <t>C-01</t>
  </si>
  <si>
    <t>MROJA3CD4N0234567</t>
  </si>
  <si>
    <t>15/06/2022</t>
  </si>
  <si>
    <t>VH-003</t>
  </si>
  <si>
    <t>Tractor</t>
  </si>
  <si>
    <t>John Deere</t>
  </si>
  <si>
    <t>6130J</t>
  </si>
  <si>
    <t>2020</t>
  </si>
  <si>
    <t>MA-01</t>
  </si>
  <si>
    <t>1RW6130JXLM345678</t>
  </si>
  <si>
    <t>En mantenimiento</t>
  </si>
  <si>
    <t>10/01/2020</t>
  </si>
  <si>
    <t>Aguardando repuestos</t>
  </si>
  <si>
    <t>VH-004</t>
  </si>
  <si>
    <t>Scania</t>
  </si>
  <si>
    <t>R450</t>
  </si>
  <si>
    <t>2019</t>
  </si>
  <si>
    <t>GHI789</t>
  </si>
  <si>
    <t>T-02</t>
  </si>
  <si>
    <t>YS2R4X20005678901</t>
  </si>
  <si>
    <t>05/07/2019</t>
  </si>
  <si>
    <t>VH-005</t>
  </si>
  <si>
    <t>Auto</t>
  </si>
  <si>
    <t>Volkswagen</t>
  </si>
  <si>
    <t>Amarok</t>
  </si>
  <si>
    <t>2023</t>
  </si>
  <si>
    <t>JKL012</t>
  </si>
  <si>
    <t>C-02</t>
  </si>
  <si>
    <t>WV2ZZZ2HZPH123456</t>
  </si>
  <si>
    <t>Ana Ruiz</t>
  </si>
  <si>
    <t>20/01/2023</t>
  </si>
  <si>
    <t>DNI</t>
  </si>
  <si>
    <t>Email</t>
  </si>
  <si>
    <t>Fecha Ingreso</t>
  </si>
  <si>
    <t>CD-001</t>
  </si>
  <si>
    <t>30123456</t>
  </si>
  <si>
    <t>351-4567890</t>
  </si>
  <si>
    <t>jperez@mail.com</t>
  </si>
  <si>
    <t>CD-002</t>
  </si>
  <si>
    <t>27654321</t>
  </si>
  <si>
    <t>351-5678901</t>
  </si>
  <si>
    <t>mgomez@mail.com</t>
  </si>
  <si>
    <t>CD-003</t>
  </si>
  <si>
    <t>33789012</t>
  </si>
  <si>
    <t>351-6789012</t>
  </si>
  <si>
    <t>clopez@mail.com</t>
  </si>
  <si>
    <t>CD-004</t>
  </si>
  <si>
    <t>35234567</t>
  </si>
  <si>
    <t>351-7890123</t>
  </si>
  <si>
    <t>aruiz@mail.com</t>
  </si>
  <si>
    <t>CD-005</t>
  </si>
  <si>
    <t>28901234</t>
  </si>
  <si>
    <t>351-8901234</t>
  </si>
  <si>
    <t>rfernandez@mail.com</t>
  </si>
  <si>
    <t>Licencia</t>
  </si>
  <si>
    <t>10/02/2018</t>
  </si>
  <si>
    <t>Km / Hs al momento</t>
  </si>
  <si>
    <t>Frenos</t>
  </si>
  <si>
    <t>Luces</t>
  </si>
  <si>
    <t>Fluidos</t>
  </si>
  <si>
    <t>INS-001</t>
  </si>
  <si>
    <t>15/01/2025</t>
  </si>
  <si>
    <t>Pre-viaje</t>
  </si>
  <si>
    <t>125000</t>
  </si>
  <si>
    <t>Aprobado</t>
  </si>
  <si>
    <t>INS-002</t>
  </si>
  <si>
    <t>48000</t>
  </si>
  <si>
    <t>INS-003</t>
  </si>
  <si>
    <t>10/01/2025</t>
  </si>
  <si>
    <t>5600 hs</t>
  </si>
  <si>
    <t>Observado</t>
  </si>
  <si>
    <t>Reparar luz antes de usar</t>
  </si>
  <si>
    <t>INS-004</t>
  </si>
  <si>
    <t>12/01/2025</t>
  </si>
  <si>
    <t>Completar aceite motor</t>
  </si>
  <si>
    <t>INS-005</t>
  </si>
  <si>
    <t>14/01/2025</t>
  </si>
  <si>
    <t>32000</t>
  </si>
  <si>
    <t>ID Mantenimiento</t>
  </si>
  <si>
    <t>Fecha Inicio</t>
  </si>
  <si>
    <t>Fecha Fin</t>
  </si>
  <si>
    <t>Descripción del trabajo</t>
  </si>
  <si>
    <t>Taller / Responsable</t>
  </si>
  <si>
    <t>Km / Hs</t>
  </si>
  <si>
    <t>Repuestos utilizados</t>
  </si>
  <si>
    <t>Costo Mano de Obra ($)</t>
  </si>
  <si>
    <t>Costo Repuestos ($)</t>
  </si>
  <si>
    <t>Costo Total ($)</t>
  </si>
  <si>
    <t>Próximo Servicio Km/Hs</t>
  </si>
  <si>
    <t>Estado OT</t>
  </si>
  <si>
    <t>MNT-001</t>
  </si>
  <si>
    <t>Preventivo</t>
  </si>
  <si>
    <t>Cambio de aceite y filtros</t>
  </si>
  <si>
    <t>Taller Central</t>
  </si>
  <si>
    <t>Aceite 15W40, filtro aceite, filtro aire</t>
  </si>
  <si>
    <t>8000</t>
  </si>
  <si>
    <t>4500</t>
  </si>
  <si>
    <t>135000</t>
  </si>
  <si>
    <t>Cerrado</t>
  </si>
  <si>
    <t>MNT-002</t>
  </si>
  <si>
    <t>Correctivo</t>
  </si>
  <si>
    <t>Reparación sistema eléctrico</t>
  </si>
  <si>
    <t>Fusibles, relay</t>
  </si>
  <si>
    <t>12000</t>
  </si>
  <si>
    <t>3200</t>
  </si>
  <si>
    <t>En curso</t>
  </si>
  <si>
    <t>Esperando repuesto relay</t>
  </si>
  <si>
    <t>MNT-003</t>
  </si>
  <si>
    <t>05/01/2025</t>
  </si>
  <si>
    <t>Service 40.000 km</t>
  </si>
  <si>
    <t>Concesionario Toyota</t>
  </si>
  <si>
    <t>Kit service completo</t>
  </si>
  <si>
    <t>15000</t>
  </si>
  <si>
    <t>88000</t>
  </si>
  <si>
    <t>MNT-004</t>
  </si>
  <si>
    <t>02/12/2024</t>
  </si>
  <si>
    <t>03/12/2024</t>
  </si>
  <si>
    <t>Cambio pastillas y discos freno</t>
  </si>
  <si>
    <t>Taller Frenos Sur</t>
  </si>
  <si>
    <t>209800</t>
  </si>
  <si>
    <t>Discos, pastillas delanteras</t>
  </si>
  <si>
    <t>10000</t>
  </si>
  <si>
    <t>18000</t>
  </si>
  <si>
    <t>MNT-005</t>
  </si>
  <si>
    <t>08/01/2025</t>
  </si>
  <si>
    <t>Cambio aceite motor</t>
  </si>
  <si>
    <t>Aceite 5W30, filtro</t>
  </si>
  <si>
    <t>7000</t>
  </si>
  <si>
    <t>3800</t>
  </si>
  <si>
    <t>62000</t>
  </si>
  <si>
    <t>TOTALES</t>
  </si>
  <si>
    <t>ID_Vehiculo</t>
  </si>
  <si>
    <t>Mercedes Benz</t>
  </si>
  <si>
    <t>Dominio</t>
  </si>
  <si>
    <t>AA123FD</t>
  </si>
  <si>
    <t>N° Serie/chasis</t>
  </si>
  <si>
    <t>ID_Conductor</t>
  </si>
  <si>
    <t>Nombre</t>
  </si>
  <si>
    <t>Carlos</t>
  </si>
  <si>
    <t>Roberto</t>
  </si>
  <si>
    <t>Apellido</t>
  </si>
  <si>
    <t>Juan</t>
  </si>
  <si>
    <t>Ana Paula</t>
  </si>
  <si>
    <t>Ruiz</t>
  </si>
  <si>
    <t>Telefono</t>
  </si>
  <si>
    <t>Vehiculo Asignado</t>
  </si>
  <si>
    <t>Carroceria</t>
  </si>
  <si>
    <t>Neumaticos</t>
  </si>
  <si>
    <t>ID_Inspeccion</t>
  </si>
  <si>
    <t>Fecha Inspeccion</t>
  </si>
  <si>
    <t>Tipo Inspeccion</t>
  </si>
  <si>
    <t>Periodica</t>
  </si>
  <si>
    <t>Maria Gomez</t>
  </si>
  <si>
    <t>Carlos Lopez</t>
  </si>
  <si>
    <t>Juan Perez</t>
  </si>
  <si>
    <t>Tecnica</t>
  </si>
  <si>
    <t>Camion</t>
  </si>
  <si>
    <t>Fernandez</t>
  </si>
  <si>
    <t>Perez</t>
  </si>
  <si>
    <t>Licencia medica</t>
  </si>
  <si>
    <t>Maria Jose</t>
  </si>
  <si>
    <t>Gomez</t>
  </si>
  <si>
    <t>Lopez</t>
  </si>
  <si>
    <t>Vidrios</t>
  </si>
  <si>
    <t>Interior</t>
  </si>
  <si>
    <t>Extintor</t>
  </si>
  <si>
    <t>Botiquin</t>
  </si>
  <si>
    <t>SI</t>
  </si>
  <si>
    <t>Herramientas</t>
  </si>
  <si>
    <t>NO</t>
  </si>
  <si>
    <t>Observacion Frenos</t>
  </si>
  <si>
    <t>Observacion Neumaticos</t>
  </si>
  <si>
    <t>Observacion Luces</t>
  </si>
  <si>
    <t>Observacion Fluidos</t>
  </si>
  <si>
    <t>Observacion Carroceria</t>
  </si>
  <si>
    <t>Observacion Vidrios</t>
  </si>
  <si>
    <t>Observacion Interior</t>
  </si>
  <si>
    <t>BUENO</t>
  </si>
  <si>
    <t>MEDIO</t>
  </si>
  <si>
    <t>REGULAR</t>
  </si>
  <si>
    <t>Desgaste leve en ruedas traseras</t>
  </si>
  <si>
    <t>Luz delantera izquierda quemada</t>
  </si>
  <si>
    <t>Abollon en puerta izquierda</t>
  </si>
  <si>
    <t>Tapizado roto del conductor</t>
  </si>
  <si>
    <t>Tablero roto</t>
  </si>
  <si>
    <t>Bajo nivel de aceite</t>
  </si>
  <si>
    <t>En funcionamiento</t>
  </si>
  <si>
    <t>Total de vehiculos</t>
  </si>
  <si>
    <t>Inspeccion este mes</t>
  </si>
  <si>
    <t>Vehiculos activos</t>
  </si>
  <si>
    <t>Conductores</t>
  </si>
  <si>
    <t>Costo total de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</si>
</sst>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22"/>
      <color rgb="FF1ABC9C"/>
      <name val="Arial"/>
      <charset val="1"/>
    </font>
    <font>
      <b/>
      <sz val="22"/>
      <color rgb="FF2E4A7A"/>
      <name val="Arial"/>
      <charset val="1"/>
    </font>
    <font>
      <b/>
      <sz val="22"/>
      <color rgb="FFE67E22"/>
      <name val="Arial"/>
      <charset val="1"/>
    </font>
    <font>
      <b/>
      <sz val="22"/>
      <color rgb="FF2C3E50"/>
      <name val="Arial"/>
      <charset val="1"/>
    </font>
    <font>
      <b/>
      <sz val="22"/>
      <color rgb="FF27AE60"/>
      <name val="Arial"/>
      <charset val="1"/>
    </font>
    <font>
      <b/>
      <sz val="22"/>
      <color rgb="FFE74C3C"/>
      <name val="Arial"/>
      <charset val="1"/>
    </font>
    <font>
      <b/>
      <sz val="10"/>
      <color rgb="FF1A2B4A"/>
      <name val="Arial"/>
      <charset val="1"/>
    </font>
    <font>
      <sz val="10"/>
      <color rgb="FF2C3E50"/>
      <name val="Arial"/>
      <charset val="1"/>
    </font>
    <font>
      <b/>
      <sz val="10"/>
      <color rgb="FF1A527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5F7FA"/>
        <bgColor rgb="FFFFFFFF"/>
      </patternFill>
    </fill>
    <fill>
      <patternFill patternType="solid">
        <fgColor rgb="FF1ABC9C"/>
        <bgColor rgb="FF27AE60"/>
      </patternFill>
    </fill>
    <fill>
      <patternFill patternType="solid">
        <fgColor rgb="FF2E4A7A"/>
        <bgColor rgb="FF1A527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5F7FA"/>
      </patternFill>
    </fill>
  </fills>
  <borders count="5">
    <border>
      <left/>
      <right/>
      <top/>
      <bottom/>
      <diagonal/>
    </border>
    <border>
      <left style="medium">
        <color rgb="FF1A2B4A"/>
      </left>
      <right/>
      <top style="medium">
        <color rgb="FF1A2B4A"/>
      </top>
      <bottom style="medium">
        <color rgb="FF1A2B4A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A2B4A"/>
      </left>
      <right style="medium">
        <color rgb="FF1A2B4A"/>
      </right>
      <top style="medium">
        <color rgb="FF1A2B4A"/>
      </top>
      <bottom style="medium">
        <color rgb="FF1A2B4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8" fillId="5" borderId="3" xfId="0" applyFont="1" applyFill="1" applyBorder="1" applyAlignment="1"/>
    <xf numFmtId="0" fontId="9" fillId="6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5F7FA"/>
      <rgbColor rgb="FFCCFFFF"/>
      <rgbColor rgb="FF660066"/>
      <rgbColor rgb="FFE74C3C"/>
      <rgbColor rgb="FF1A527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F9900"/>
      <rgbColor rgb="FFE67E22"/>
      <rgbColor rgb="FF666699"/>
      <rgbColor rgb="FF969696"/>
      <rgbColor rgb="FF1A2B4A"/>
      <rgbColor rgb="FF27AE60"/>
      <rgbColor rgb="FF003300"/>
      <rgbColor rgb="FF333300"/>
      <rgbColor rgb="FF993300"/>
      <rgbColor rgb="FF993366"/>
      <rgbColor rgb="FF2E4A7A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Normal="100" workbookViewId="0">
      <pane ySplit="1" topLeftCell="A2" activePane="bottomLeft" state="frozen"/>
      <selection pane="bottomLeft" activeCell="B11" sqref="B11"/>
    </sheetView>
  </sheetViews>
  <sheetFormatPr baseColWidth="10" defaultColWidth="8.6328125" defaultRowHeight="14.5" x14ac:dyDescent="0.35"/>
  <cols>
    <col min="1" max="1" width="12" customWidth="1"/>
    <col min="2" max="2" width="14" customWidth="1"/>
    <col min="3" max="4" width="16" customWidth="1"/>
    <col min="5" max="5" width="8" customWidth="1"/>
    <col min="6" max="6" width="16" customWidth="1"/>
    <col min="7" max="7" width="12" customWidth="1"/>
    <col min="8" max="8" width="22" customWidth="1"/>
    <col min="9" max="10" width="18" customWidth="1"/>
    <col min="11" max="12" width="14" customWidth="1"/>
    <col min="13" max="13" width="28" customWidth="1"/>
  </cols>
  <sheetData>
    <row r="1" spans="1:13" x14ac:dyDescent="0.35">
      <c r="A1" t="s">
        <v>165</v>
      </c>
      <c r="B1" t="s">
        <v>10</v>
      </c>
      <c r="C1" t="s">
        <v>11</v>
      </c>
      <c r="D1" t="s">
        <v>12</v>
      </c>
      <c r="E1" t="s">
        <v>13</v>
      </c>
      <c r="F1" t="s">
        <v>167</v>
      </c>
      <c r="G1" t="s">
        <v>14</v>
      </c>
      <c r="H1" t="s">
        <v>169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35">
      <c r="A2" t="s">
        <v>20</v>
      </c>
      <c r="B2" t="s">
        <v>190</v>
      </c>
      <c r="C2" t="s">
        <v>166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188</v>
      </c>
      <c r="K2" t="s">
        <v>27</v>
      </c>
    </row>
    <row r="3" spans="1:13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26</v>
      </c>
      <c r="J3" t="s">
        <v>186</v>
      </c>
      <c r="K3" t="s">
        <v>36</v>
      </c>
    </row>
    <row r="4" spans="1:13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168</v>
      </c>
      <c r="G4" t="s">
        <v>42</v>
      </c>
      <c r="H4" t="s">
        <v>43</v>
      </c>
      <c r="I4" t="s">
        <v>44</v>
      </c>
      <c r="K4" t="s">
        <v>45</v>
      </c>
      <c r="M4" t="s">
        <v>46</v>
      </c>
    </row>
    <row r="5" spans="1:13" x14ac:dyDescent="0.35">
      <c r="A5" t="s">
        <v>47</v>
      </c>
      <c r="B5" t="s">
        <v>190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26</v>
      </c>
      <c r="J5" t="s">
        <v>187</v>
      </c>
      <c r="K5" t="s">
        <v>54</v>
      </c>
    </row>
    <row r="6" spans="1:13" x14ac:dyDescent="0.3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26</v>
      </c>
      <c r="J6" t="s">
        <v>63</v>
      </c>
      <c r="K6" t="s">
        <v>64</v>
      </c>
    </row>
  </sheetData>
  <dataValidations count="2">
    <dataValidation type="list" allowBlank="1" sqref="I2:I498" xr:uid="{00000000-0002-0000-0100-000000000000}">
      <formula1>"Activo,En mantenimiento,Fuera de servicio,Baja"</formula1>
      <formula2>0</formula2>
    </dataValidation>
    <dataValidation type="list" allowBlank="1" sqref="B2:B498" xr:uid="{00000000-0002-0000-0100-000001000000}">
      <formula1>"Camión,Camioneta,Auto,Tractor,Cosechadora,Acoplado,Otro"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10" defaultColWidth="8.6328125" defaultRowHeight="14.5" x14ac:dyDescent="0.35"/>
  <cols>
    <col min="1" max="1" width="14" customWidth="1"/>
    <col min="2" max="2" width="9.54296875" bestFit="1" customWidth="1"/>
    <col min="3" max="3" width="9.7265625" bestFit="1" customWidth="1"/>
    <col min="4" max="4" width="14" customWidth="1"/>
    <col min="5" max="5" width="16" customWidth="1"/>
    <col min="6" max="6" width="26" customWidth="1"/>
    <col min="7" max="7" width="14" customWidth="1"/>
    <col min="8" max="9" width="16" customWidth="1"/>
    <col min="10" max="10" width="28" customWidth="1"/>
  </cols>
  <sheetData>
    <row r="1" spans="1:10" x14ac:dyDescent="0.35">
      <c r="A1" t="s">
        <v>170</v>
      </c>
      <c r="B1" t="s">
        <v>174</v>
      </c>
      <c r="C1" t="s">
        <v>171</v>
      </c>
      <c r="D1" t="s">
        <v>65</v>
      </c>
      <c r="E1" t="s">
        <v>178</v>
      </c>
      <c r="F1" t="s">
        <v>66</v>
      </c>
      <c r="G1" t="s">
        <v>15</v>
      </c>
      <c r="H1" t="s">
        <v>179</v>
      </c>
      <c r="I1" t="s">
        <v>67</v>
      </c>
      <c r="J1" t="s">
        <v>19</v>
      </c>
    </row>
    <row r="2" spans="1:10" x14ac:dyDescent="0.35">
      <c r="A2" t="s">
        <v>68</v>
      </c>
      <c r="B2" t="s">
        <v>192</v>
      </c>
      <c r="C2" t="s">
        <v>175</v>
      </c>
      <c r="D2" t="s">
        <v>69</v>
      </c>
      <c r="E2" t="s">
        <v>70</v>
      </c>
      <c r="F2" t="s">
        <v>71</v>
      </c>
      <c r="G2" t="s">
        <v>26</v>
      </c>
      <c r="H2" t="s">
        <v>20</v>
      </c>
      <c r="I2" t="s">
        <v>27</v>
      </c>
    </row>
    <row r="3" spans="1:10" x14ac:dyDescent="0.35">
      <c r="A3" t="s">
        <v>72</v>
      </c>
      <c r="B3" t="s">
        <v>195</v>
      </c>
      <c r="C3" t="s">
        <v>194</v>
      </c>
      <c r="D3" t="s">
        <v>73</v>
      </c>
      <c r="E3" t="s">
        <v>74</v>
      </c>
      <c r="F3" t="s">
        <v>75</v>
      </c>
      <c r="G3" t="s">
        <v>26</v>
      </c>
      <c r="H3" t="s">
        <v>28</v>
      </c>
      <c r="I3" t="s">
        <v>36</v>
      </c>
    </row>
    <row r="4" spans="1:10" x14ac:dyDescent="0.35">
      <c r="A4" t="s">
        <v>76</v>
      </c>
      <c r="B4" t="s">
        <v>196</v>
      </c>
      <c r="C4" t="s">
        <v>172</v>
      </c>
      <c r="D4" t="s">
        <v>77</v>
      </c>
      <c r="E4" t="s">
        <v>78</v>
      </c>
      <c r="F4" t="s">
        <v>79</v>
      </c>
      <c r="G4" t="s">
        <v>26</v>
      </c>
      <c r="H4" t="s">
        <v>47</v>
      </c>
      <c r="I4" t="s">
        <v>54</v>
      </c>
    </row>
    <row r="5" spans="1:10" x14ac:dyDescent="0.35">
      <c r="A5" t="s">
        <v>80</v>
      </c>
      <c r="B5" t="s">
        <v>177</v>
      </c>
      <c r="C5" t="s">
        <v>176</v>
      </c>
      <c r="D5" t="s">
        <v>81</v>
      </c>
      <c r="E5" t="s">
        <v>82</v>
      </c>
      <c r="F5" t="s">
        <v>83</v>
      </c>
      <c r="G5" t="s">
        <v>26</v>
      </c>
      <c r="H5" t="s">
        <v>55</v>
      </c>
      <c r="I5" t="s">
        <v>64</v>
      </c>
    </row>
    <row r="6" spans="1:10" x14ac:dyDescent="0.35">
      <c r="A6" t="s">
        <v>84</v>
      </c>
      <c r="B6" t="s">
        <v>191</v>
      </c>
      <c r="C6" t="s">
        <v>173</v>
      </c>
      <c r="D6" t="s">
        <v>85</v>
      </c>
      <c r="E6" t="s">
        <v>86</v>
      </c>
      <c r="F6" t="s">
        <v>87</v>
      </c>
      <c r="G6" t="s">
        <v>88</v>
      </c>
      <c r="I6" t="s">
        <v>89</v>
      </c>
      <c r="J6" t="s">
        <v>193</v>
      </c>
    </row>
  </sheetData>
  <dataValidations count="1">
    <dataValidation type="list" allowBlank="1" sqref="G2:G498" xr:uid="{00000000-0002-0000-0200-000000000000}">
      <formula1>"Activo,Licencia,Suspendido,Baja"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.453125" bestFit="1" customWidth="1"/>
    <col min="2" max="2" width="10.7265625" bestFit="1" customWidth="1"/>
    <col min="3" max="3" width="14.90625" bestFit="1" customWidth="1"/>
    <col min="4" max="4" width="13.7265625" bestFit="1" customWidth="1"/>
    <col min="5" max="5" width="17.90625" bestFit="1" customWidth="1"/>
    <col min="6" max="6" width="9.54296875" customWidth="1"/>
    <col min="7" max="7" width="17.36328125" bestFit="1" customWidth="1"/>
    <col min="8" max="8" width="12.08984375" bestFit="1" customWidth="1"/>
    <col min="9" max="9" width="21.6328125" bestFit="1" customWidth="1"/>
    <col min="10" max="10" width="14.7265625" bestFit="1" customWidth="1"/>
    <col min="11" max="11" width="16.26953125" bestFit="1" customWidth="1"/>
    <col min="12" max="12" width="14.36328125" bestFit="1" customWidth="1"/>
    <col min="13" max="13" width="17.6328125" bestFit="1" customWidth="1"/>
    <col min="14" max="14" width="9.453125" bestFit="1" customWidth="1"/>
    <col min="15" max="15" width="20.36328125" bestFit="1" customWidth="1"/>
    <col min="16" max="16" width="6.54296875" bestFit="1" customWidth="1"/>
    <col min="17" max="17" width="17.453125" bestFit="1" customWidth="1"/>
    <col min="18" max="18" width="7.08984375" bestFit="1" customWidth="1"/>
    <col min="19" max="19" width="18" bestFit="1" customWidth="1"/>
    <col min="20" max="20" width="7.81640625" bestFit="1" customWidth="1"/>
    <col min="21" max="21" width="7.36328125" bestFit="1" customWidth="1"/>
    <col min="22" max="22" width="12.1796875" bestFit="1" customWidth="1"/>
    <col min="23" max="23" width="9.90625" bestFit="1" customWidth="1"/>
    <col min="24" max="24" width="24.36328125" bestFit="1" customWidth="1"/>
  </cols>
  <sheetData>
    <row r="1" spans="1:24" x14ac:dyDescent="0.35">
      <c r="A1" t="s">
        <v>182</v>
      </c>
      <c r="B1" t="s">
        <v>165</v>
      </c>
      <c r="C1" t="s">
        <v>183</v>
      </c>
      <c r="D1" t="s">
        <v>184</v>
      </c>
      <c r="E1" t="s">
        <v>90</v>
      </c>
      <c r="F1" t="s">
        <v>91</v>
      </c>
      <c r="G1" t="s">
        <v>204</v>
      </c>
      <c r="H1" t="s">
        <v>181</v>
      </c>
      <c r="I1" t="s">
        <v>205</v>
      </c>
      <c r="J1" t="s">
        <v>92</v>
      </c>
      <c r="K1" t="s">
        <v>206</v>
      </c>
      <c r="L1" t="s">
        <v>93</v>
      </c>
      <c r="M1" t="s">
        <v>207</v>
      </c>
      <c r="N1" t="s">
        <v>180</v>
      </c>
      <c r="O1" t="s">
        <v>208</v>
      </c>
      <c r="P1" t="s">
        <v>197</v>
      </c>
      <c r="Q1" t="s">
        <v>209</v>
      </c>
      <c r="R1" t="s">
        <v>198</v>
      </c>
      <c r="S1" t="s">
        <v>210</v>
      </c>
      <c r="T1" t="s">
        <v>200</v>
      </c>
      <c r="U1" t="s">
        <v>199</v>
      </c>
      <c r="V1" t="s">
        <v>202</v>
      </c>
      <c r="W1" t="s">
        <v>15</v>
      </c>
      <c r="X1" t="s">
        <v>19</v>
      </c>
    </row>
    <row r="2" spans="1:24" x14ac:dyDescent="0.35">
      <c r="A2" t="s">
        <v>94</v>
      </c>
      <c r="B2" t="s">
        <v>20</v>
      </c>
      <c r="C2" t="s">
        <v>95</v>
      </c>
      <c r="D2" t="s">
        <v>96</v>
      </c>
      <c r="E2">
        <v>125000</v>
      </c>
      <c r="F2" t="s">
        <v>211</v>
      </c>
      <c r="H2" t="s">
        <v>211</v>
      </c>
      <c r="J2" t="s">
        <v>211</v>
      </c>
      <c r="L2" t="s">
        <v>211</v>
      </c>
      <c r="N2" t="s">
        <v>211</v>
      </c>
      <c r="P2" t="s">
        <v>211</v>
      </c>
      <c r="R2" t="s">
        <v>213</v>
      </c>
      <c r="S2" t="s">
        <v>217</v>
      </c>
      <c r="T2" t="s">
        <v>201</v>
      </c>
      <c r="U2" t="s">
        <v>201</v>
      </c>
      <c r="V2" t="s">
        <v>201</v>
      </c>
      <c r="W2" t="s">
        <v>98</v>
      </c>
      <c r="X2" t="s">
        <v>220</v>
      </c>
    </row>
    <row r="3" spans="1:24" x14ac:dyDescent="0.35">
      <c r="A3" t="s">
        <v>99</v>
      </c>
      <c r="B3" t="s">
        <v>28</v>
      </c>
      <c r="C3" t="s">
        <v>95</v>
      </c>
      <c r="D3" t="s">
        <v>185</v>
      </c>
      <c r="E3">
        <v>48000</v>
      </c>
      <c r="F3" t="s">
        <v>211</v>
      </c>
      <c r="H3" t="s">
        <v>212</v>
      </c>
      <c r="I3" t="s">
        <v>214</v>
      </c>
      <c r="J3" t="s">
        <v>211</v>
      </c>
      <c r="L3" t="s">
        <v>211</v>
      </c>
      <c r="N3" t="s">
        <v>211</v>
      </c>
      <c r="P3" t="s">
        <v>211</v>
      </c>
      <c r="R3" t="s">
        <v>213</v>
      </c>
      <c r="S3" t="s">
        <v>218</v>
      </c>
      <c r="T3" t="s">
        <v>203</v>
      </c>
      <c r="U3" t="s">
        <v>201</v>
      </c>
      <c r="V3" t="s">
        <v>201</v>
      </c>
      <c r="W3" t="s">
        <v>98</v>
      </c>
      <c r="X3" t="s">
        <v>220</v>
      </c>
    </row>
    <row r="4" spans="1:24" x14ac:dyDescent="0.35">
      <c r="A4" t="s">
        <v>101</v>
      </c>
      <c r="B4" t="s">
        <v>37</v>
      </c>
      <c r="C4" t="s">
        <v>102</v>
      </c>
      <c r="D4" t="s">
        <v>189</v>
      </c>
      <c r="E4">
        <v>5600</v>
      </c>
      <c r="F4" t="s">
        <v>211</v>
      </c>
      <c r="H4" t="s">
        <v>211</v>
      </c>
      <c r="J4" t="s">
        <v>213</v>
      </c>
      <c r="K4" t="s">
        <v>215</v>
      </c>
      <c r="L4" t="s">
        <v>211</v>
      </c>
      <c r="N4" t="s">
        <v>211</v>
      </c>
      <c r="P4" t="s">
        <v>211</v>
      </c>
      <c r="R4" t="s">
        <v>211</v>
      </c>
      <c r="T4" t="s">
        <v>201</v>
      </c>
      <c r="U4" t="s">
        <v>201</v>
      </c>
      <c r="V4" t="s">
        <v>201</v>
      </c>
      <c r="W4" t="s">
        <v>104</v>
      </c>
      <c r="X4" t="s">
        <v>105</v>
      </c>
    </row>
    <row r="5" spans="1:24" x14ac:dyDescent="0.35">
      <c r="A5" t="s">
        <v>106</v>
      </c>
      <c r="B5" t="s">
        <v>47</v>
      </c>
      <c r="C5" t="s">
        <v>107</v>
      </c>
      <c r="D5" t="s">
        <v>96</v>
      </c>
      <c r="E5">
        <v>210000</v>
      </c>
      <c r="F5" t="s">
        <v>211</v>
      </c>
      <c r="H5" t="s">
        <v>211</v>
      </c>
      <c r="J5" t="s">
        <v>211</v>
      </c>
      <c r="L5" t="s">
        <v>212</v>
      </c>
      <c r="M5" t="s">
        <v>219</v>
      </c>
      <c r="N5" t="s">
        <v>212</v>
      </c>
      <c r="O5" t="s">
        <v>216</v>
      </c>
      <c r="P5" t="s">
        <v>211</v>
      </c>
      <c r="R5" t="s">
        <v>211</v>
      </c>
      <c r="T5" t="s">
        <v>201</v>
      </c>
      <c r="U5" t="s">
        <v>201</v>
      </c>
      <c r="V5" t="s">
        <v>203</v>
      </c>
      <c r="W5" t="s">
        <v>104</v>
      </c>
      <c r="X5" t="s">
        <v>108</v>
      </c>
    </row>
    <row r="6" spans="1:24" x14ac:dyDescent="0.35">
      <c r="A6" t="s">
        <v>109</v>
      </c>
      <c r="B6" t="s">
        <v>55</v>
      </c>
      <c r="C6" t="s">
        <v>110</v>
      </c>
      <c r="D6" t="s">
        <v>96</v>
      </c>
      <c r="E6">
        <v>32000</v>
      </c>
      <c r="F6" t="s">
        <v>211</v>
      </c>
      <c r="H6" t="s">
        <v>211</v>
      </c>
      <c r="J6" t="s">
        <v>211</v>
      </c>
      <c r="L6" t="s">
        <v>211</v>
      </c>
      <c r="N6" t="s">
        <v>211</v>
      </c>
      <c r="P6" t="s">
        <v>211</v>
      </c>
      <c r="R6" t="s">
        <v>211</v>
      </c>
      <c r="T6" t="s">
        <v>201</v>
      </c>
      <c r="U6" t="s">
        <v>201</v>
      </c>
      <c r="V6" t="s">
        <v>203</v>
      </c>
      <c r="W6" t="s">
        <v>98</v>
      </c>
      <c r="X6" t="s">
        <v>220</v>
      </c>
    </row>
  </sheetData>
  <dataValidations count="2">
    <dataValidation type="list" allowBlank="1" sqref="W2:W498" xr:uid="{00000000-0002-0000-0300-000000000000}">
      <formula1>"Aprobado,Observado,Rechazado"</formula1>
      <formula2>0</formula2>
    </dataValidation>
    <dataValidation type="list" allowBlank="1" sqref="D2:D498" xr:uid="{00000000-0002-0000-0300-000001000000}">
      <formula1>"Pre-viaje,Periódica,Técnica,VTV,Anual"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5" width="14" customWidth="1"/>
    <col min="6" max="6" width="32" customWidth="1"/>
    <col min="7" max="7" width="22" customWidth="1"/>
    <col min="8" max="8" width="14" customWidth="1"/>
    <col min="9" max="9" width="28" customWidth="1"/>
    <col min="10" max="11" width="20" customWidth="1"/>
    <col min="12" max="12" width="16" customWidth="1"/>
    <col min="13" max="13" width="20" customWidth="1"/>
    <col min="14" max="14" width="14" customWidth="1"/>
    <col min="15" max="15" width="28" customWidth="1"/>
  </cols>
  <sheetData>
    <row r="1" spans="1:15" ht="30" customHeight="1" thickBot="1" x14ac:dyDescent="0.4">
      <c r="A1" s="1" t="s">
        <v>112</v>
      </c>
      <c r="B1" s="1" t="s">
        <v>9</v>
      </c>
      <c r="C1" s="1" t="s">
        <v>113</v>
      </c>
      <c r="D1" s="1" t="s">
        <v>114</v>
      </c>
      <c r="E1" s="1" t="s">
        <v>10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19</v>
      </c>
    </row>
    <row r="2" spans="1:15" x14ac:dyDescent="0.35">
      <c r="A2" s="2" t="s">
        <v>124</v>
      </c>
      <c r="B2" s="2" t="s">
        <v>20</v>
      </c>
      <c r="C2" s="2" t="s">
        <v>102</v>
      </c>
      <c r="D2" s="2" t="s">
        <v>102</v>
      </c>
      <c r="E2" s="2" t="s">
        <v>125</v>
      </c>
      <c r="F2" s="2" t="s">
        <v>126</v>
      </c>
      <c r="G2" s="2" t="s">
        <v>127</v>
      </c>
      <c r="H2" s="2" t="s">
        <v>97</v>
      </c>
      <c r="I2" s="2" t="s">
        <v>128</v>
      </c>
      <c r="J2" s="2" t="s">
        <v>129</v>
      </c>
      <c r="K2" s="2" t="s">
        <v>130</v>
      </c>
      <c r="L2" s="4">
        <f>J2+K2</f>
        <v>12500</v>
      </c>
      <c r="M2" s="2" t="s">
        <v>131</v>
      </c>
      <c r="N2" s="2" t="s">
        <v>132</v>
      </c>
      <c r="O2" s="2"/>
    </row>
    <row r="3" spans="1:15" x14ac:dyDescent="0.35">
      <c r="A3" s="3" t="s">
        <v>133</v>
      </c>
      <c r="B3" s="3" t="s">
        <v>37</v>
      </c>
      <c r="C3" s="3" t="s">
        <v>102</v>
      </c>
      <c r="D3" s="3"/>
      <c r="E3" s="3" t="s">
        <v>134</v>
      </c>
      <c r="F3" s="3" t="s">
        <v>135</v>
      </c>
      <c r="G3" s="3" t="s">
        <v>127</v>
      </c>
      <c r="H3" s="3" t="s">
        <v>103</v>
      </c>
      <c r="I3" s="3" t="s">
        <v>136</v>
      </c>
      <c r="J3" s="3" t="s">
        <v>137</v>
      </c>
      <c r="K3" s="3" t="s">
        <v>138</v>
      </c>
      <c r="L3" s="4">
        <f>J3+K3</f>
        <v>15200</v>
      </c>
      <c r="M3" s="3"/>
      <c r="N3" s="3" t="s">
        <v>139</v>
      </c>
      <c r="O3" s="3" t="s">
        <v>140</v>
      </c>
    </row>
    <row r="4" spans="1:15" x14ac:dyDescent="0.35">
      <c r="A4" s="2" t="s">
        <v>141</v>
      </c>
      <c r="B4" s="2" t="s">
        <v>28</v>
      </c>
      <c r="C4" s="2" t="s">
        <v>142</v>
      </c>
      <c r="D4" s="2" t="s">
        <v>142</v>
      </c>
      <c r="E4" s="2" t="s">
        <v>125</v>
      </c>
      <c r="F4" s="2" t="s">
        <v>143</v>
      </c>
      <c r="G4" s="2" t="s">
        <v>144</v>
      </c>
      <c r="H4" s="2" t="s">
        <v>100</v>
      </c>
      <c r="I4" s="2" t="s">
        <v>145</v>
      </c>
      <c r="J4" s="2" t="s">
        <v>146</v>
      </c>
      <c r="K4" s="2" t="s">
        <v>137</v>
      </c>
      <c r="L4" s="4">
        <f>J4+K4</f>
        <v>27000</v>
      </c>
      <c r="M4" s="2" t="s">
        <v>147</v>
      </c>
      <c r="N4" s="2" t="s">
        <v>132</v>
      </c>
      <c r="O4" s="2"/>
    </row>
    <row r="5" spans="1:15" x14ac:dyDescent="0.35">
      <c r="A5" s="3" t="s">
        <v>148</v>
      </c>
      <c r="B5" s="3" t="s">
        <v>47</v>
      </c>
      <c r="C5" s="3" t="s">
        <v>149</v>
      </c>
      <c r="D5" s="3" t="s">
        <v>150</v>
      </c>
      <c r="E5" s="3" t="s">
        <v>134</v>
      </c>
      <c r="F5" s="3" t="s">
        <v>151</v>
      </c>
      <c r="G5" s="3" t="s">
        <v>152</v>
      </c>
      <c r="H5" s="3" t="s">
        <v>153</v>
      </c>
      <c r="I5" s="3" t="s">
        <v>154</v>
      </c>
      <c r="J5" s="3" t="s">
        <v>155</v>
      </c>
      <c r="K5" s="3" t="s">
        <v>156</v>
      </c>
      <c r="L5" s="4">
        <f>J5+K5</f>
        <v>28000</v>
      </c>
      <c r="M5" s="3"/>
      <c r="N5" s="3" t="s">
        <v>132</v>
      </c>
      <c r="O5" s="3"/>
    </row>
    <row r="6" spans="1:15" x14ac:dyDescent="0.35">
      <c r="A6" s="2" t="s">
        <v>157</v>
      </c>
      <c r="B6" s="2" t="s">
        <v>55</v>
      </c>
      <c r="C6" s="2" t="s">
        <v>158</v>
      </c>
      <c r="D6" s="2" t="s">
        <v>158</v>
      </c>
      <c r="E6" s="2" t="s">
        <v>125</v>
      </c>
      <c r="F6" s="2" t="s">
        <v>159</v>
      </c>
      <c r="G6" s="2" t="s">
        <v>127</v>
      </c>
      <c r="H6" s="2" t="s">
        <v>111</v>
      </c>
      <c r="I6" s="2" t="s">
        <v>160</v>
      </c>
      <c r="J6" s="2" t="s">
        <v>161</v>
      </c>
      <c r="K6" s="2" t="s">
        <v>162</v>
      </c>
      <c r="L6" s="4">
        <f>J6+K6</f>
        <v>10800</v>
      </c>
      <c r="M6" s="2" t="s">
        <v>163</v>
      </c>
      <c r="N6" s="2" t="s">
        <v>132</v>
      </c>
      <c r="O6" s="2"/>
    </row>
    <row r="7" spans="1:15" ht="15" customHeight="1" x14ac:dyDescent="0.35">
      <c r="A7" s="5" t="s">
        <v>164</v>
      </c>
      <c r="B7" s="5"/>
      <c r="C7" s="5"/>
      <c r="D7" s="5"/>
      <c r="E7" s="5"/>
      <c r="F7" s="5"/>
      <c r="G7" s="5"/>
      <c r="H7" s="5"/>
      <c r="I7" s="5"/>
      <c r="J7" s="4">
        <f>SUM(J2:J6)</f>
        <v>0</v>
      </c>
      <c r="K7" s="4">
        <f>SUM(K2:K6)</f>
        <v>0</v>
      </c>
      <c r="L7" s="4">
        <f>SUM(L2:L6)</f>
        <v>93500</v>
      </c>
    </row>
  </sheetData>
  <mergeCells count="1">
    <mergeCell ref="A7:I7"/>
  </mergeCells>
  <dataValidations count="2">
    <dataValidation type="list" allowBlank="1" sqref="N2:N498" xr:uid="{00000000-0002-0000-0400-000000000000}">
      <formula1>"En curso,Cerrado,Pendiente,Cancelado"</formula1>
      <formula2>0</formula2>
    </dataValidation>
    <dataValidation type="list" allowBlank="1" sqref="E2:E498" xr:uid="{00000000-0002-0000-0400-000001000000}">
      <formula1>"Preventivo,Correctivo,Predictivo,Mejora"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activeCell="A9" sqref="A9"/>
    </sheetView>
  </sheetViews>
  <sheetFormatPr baseColWidth="10" defaultColWidth="8.6328125" defaultRowHeight="14.5" x14ac:dyDescent="0.35"/>
  <cols>
    <col min="1" max="1" width="42.54296875" customWidth="1"/>
    <col min="2" max="2" width="16" style="6" customWidth="1"/>
  </cols>
  <sheetData>
    <row r="1" spans="1:2" ht="28" x14ac:dyDescent="0.35">
      <c r="A1" t="s">
        <v>221</v>
      </c>
      <c r="B1" s="7">
        <f>COUNTA(Vehiculos!A2:A998)</f>
        <v>5</v>
      </c>
    </row>
    <row r="2" spans="1:2" ht="28" x14ac:dyDescent="0.35">
      <c r="A2" t="s">
        <v>44</v>
      </c>
      <c r="B2" s="9">
        <f>COUNTIF(Vehiculos!I2:I998,"En mantenimiento")</f>
        <v>1</v>
      </c>
    </row>
    <row r="3" spans="1:2" ht="28" x14ac:dyDescent="0.35">
      <c r="A3" t="s">
        <v>222</v>
      </c>
      <c r="B3" s="8">
        <f>COUNTIFS(Inspecciones!C2:C998,"&gt;=01/01/2025",Inspecciones!C2:C998,"&lt;=31/01/2025")</f>
        <v>0</v>
      </c>
    </row>
    <row r="4" spans="1:2" ht="28" x14ac:dyDescent="0.35">
      <c r="A4" t="s">
        <v>223</v>
      </c>
      <c r="B4" s="12">
        <f>COUNTIF(Vehiculos!I2:I998,"Activo")</f>
        <v>4</v>
      </c>
    </row>
    <row r="5" spans="1:2" ht="28" x14ac:dyDescent="0.35">
      <c r="A5" t="s">
        <v>224</v>
      </c>
      <c r="B5" s="11">
        <f>COUNTIF(Conductores!G2:G998,"Activo")</f>
        <v>4</v>
      </c>
    </row>
    <row r="6" spans="1:2" ht="28" x14ac:dyDescent="0.35">
      <c r="A6" t="s">
        <v>225</v>
      </c>
      <c r="B6" s="10">
        <f>SUM(Mantenimientos!L2:L998)</f>
        <v>187000</v>
      </c>
    </row>
    <row r="7" spans="1:2" ht="28.5" thickBot="1" x14ac:dyDescent="0.4">
      <c r="B7" s="13"/>
    </row>
    <row r="8" spans="1:2" ht="14.5" customHeight="1" thickBot="1" x14ac:dyDescent="0.4">
      <c r="A8" s="14" t="s">
        <v>0</v>
      </c>
    </row>
    <row r="9" spans="1:2" x14ac:dyDescent="0.35">
      <c r="A9" s="15" t="s">
        <v>1</v>
      </c>
      <c r="B9" s="16" t="s">
        <v>2</v>
      </c>
    </row>
    <row r="10" spans="1:2" x14ac:dyDescent="0.35">
      <c r="A10" s="15" t="s">
        <v>3</v>
      </c>
      <c r="B10" s="16" t="s">
        <v>4</v>
      </c>
    </row>
    <row r="11" spans="1:2" x14ac:dyDescent="0.35">
      <c r="A11" s="15" t="s">
        <v>5</v>
      </c>
      <c r="B11" s="16" t="s">
        <v>6</v>
      </c>
    </row>
    <row r="12" spans="1:2" x14ac:dyDescent="0.35">
      <c r="A12" s="15" t="s">
        <v>7</v>
      </c>
      <c r="B12" s="16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Vehiculos</vt:lpstr>
      <vt:lpstr>Conductores</vt:lpstr>
      <vt:lpstr>Inspecciones</vt:lpstr>
      <vt:lpstr>Mantenimientos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sofia colussi</cp:lastModifiedBy>
  <cp:revision>0</cp:revision>
  <dcterms:created xsi:type="dcterms:W3CDTF">2026-05-28T02:13:18Z</dcterms:created>
  <dcterms:modified xsi:type="dcterms:W3CDTF">2026-05-28T03:09:24Z</dcterms:modified>
  <dc:language>en-US</dc:language>
</cp:coreProperties>
</file>